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/>
  <mc:AlternateContent xmlns:mc="http://schemas.openxmlformats.org/markup-compatibility/2006">
    <mc:Choice Requires="x15">
      <x15ac:absPath xmlns:x15ac="http://schemas.microsoft.com/office/spreadsheetml/2010/11/ac" url="G:\.shortcut-targets-by-id\1eID9MBaO09JqWaSORvRo32sCtM4aX7iu\SHP_Harp\Hardware\Harp current driver\Electronics\"/>
    </mc:Choice>
  </mc:AlternateContent>
  <xr:revisionPtr revIDLastSave="0" documentId="13_ncr:1_{812AABAA-3E59-400B-8B52-FCB84E6B5301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current driver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G39" i="1" l="1"/>
  <c r="A55" i="1" l="1"/>
  <c r="G27" i="1" l="1"/>
  <c r="G28" i="1"/>
  <c r="G29" i="1"/>
  <c r="G30" i="1"/>
  <c r="G31" i="1"/>
  <c r="G32" i="1"/>
  <c r="G33" i="1"/>
  <c r="G34" i="1"/>
  <c r="G35" i="1"/>
  <c r="G36" i="1"/>
  <c r="G37" i="1"/>
  <c r="G38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17" i="1"/>
  <c r="G18" i="1"/>
  <c r="G19" i="1"/>
  <c r="G20" i="1"/>
  <c r="G21" i="1"/>
  <c r="G22" i="1"/>
  <c r="G23" i="1"/>
  <c r="G24" i="1"/>
  <c r="G25" i="1"/>
  <c r="G26" i="1"/>
  <c r="G54" i="1"/>
  <c r="G7" i="1" l="1"/>
  <c r="G2" i="1"/>
  <c r="G15" i="1" l="1"/>
  <c r="G16" i="1"/>
  <c r="G14" i="1"/>
  <c r="G13" i="1"/>
  <c r="G12" i="1"/>
  <c r="G11" i="1"/>
  <c r="G10" i="1"/>
  <c r="G9" i="1"/>
  <c r="G8" i="1"/>
  <c r="G6" i="1"/>
  <c r="G5" i="1"/>
  <c r="G4" i="1"/>
  <c r="G3" i="1"/>
  <c r="G55" i="1" l="1"/>
  <c r="G58" i="1" s="1"/>
</calcChain>
</file>

<file path=xl/sharedStrings.xml><?xml version="1.0" encoding="utf-8"?>
<sst xmlns="http://schemas.openxmlformats.org/spreadsheetml/2006/main" count="224" uniqueCount="171">
  <si>
    <t>Qty</t>
  </si>
  <si>
    <t>Part</t>
  </si>
  <si>
    <t>Description</t>
  </si>
  <si>
    <t xml:space="preserve">Distributor </t>
  </si>
  <si>
    <t>Distributor Part Number</t>
  </si>
  <si>
    <t>Price/Unit</t>
  </si>
  <si>
    <t>Total Price</t>
  </si>
  <si>
    <t>Mouser</t>
  </si>
  <si>
    <t>Components</t>
  </si>
  <si>
    <t>PCB</t>
  </si>
  <si>
    <t>Assembly</t>
  </si>
  <si>
    <t>Total</t>
  </si>
  <si>
    <t>Notes</t>
  </si>
  <si>
    <t>CAP CER 13pF 50V ±5% C0G 0402</t>
  </si>
  <si>
    <t>603-CC402JRNPO9BN130</t>
  </si>
  <si>
    <t>CAP CER 47pF 50V ±5% C0G 0402</t>
  </si>
  <si>
    <t>77-VJ0402A470JXACBC</t>
  </si>
  <si>
    <t>CUSB</t>
  </si>
  <si>
    <t>CAP CER 4.7nF 50V ±10% X7R 0402</t>
  </si>
  <si>
    <t>81-GCM155R71H472K37D</t>
  </si>
  <si>
    <t>Farnell</t>
  </si>
  <si>
    <t>Stock</t>
  </si>
  <si>
    <t>CAP CER 330nF 10V ±10% X5R 0402</t>
  </si>
  <si>
    <t>CAP TAN 4.7uF 10V ±10% 1206</t>
  </si>
  <si>
    <t>80-T491A475K107280</t>
  </si>
  <si>
    <t>CAP CER 10uF 35V ±20% X5R 0603</t>
  </si>
  <si>
    <t>81-GRM188R6YA106MA3D</t>
  </si>
  <si>
    <t>CAP TAN 22uF 20V ±20% 1210</t>
  </si>
  <si>
    <t>667-20TQC22MYFB</t>
  </si>
  <si>
    <t>CAP CER 22uF 25V ±20% X7R 1210</t>
  </si>
  <si>
    <t>81-GRM32ER71E226ME5K</t>
  </si>
  <si>
    <t>CAP CER 47uF 16V ±10% X6S 1210</t>
  </si>
  <si>
    <t>81-GRM32EC81C476KE5K</t>
  </si>
  <si>
    <t>C3</t>
  </si>
  <si>
    <t>CAP ELE 100uF 25V ±20% E7</t>
  </si>
  <si>
    <t>667-25SVF100M</t>
  </si>
  <si>
    <t>RES SMD 0Ω ±5% 0402</t>
  </si>
  <si>
    <t>667-ERJ-2GE0R00X</t>
  </si>
  <si>
    <t>RES SMD 68Ω ±5% 0402</t>
  </si>
  <si>
    <t>667-ERJ-2GEJ680X</t>
  </si>
  <si>
    <t>RES SMD 100Ω ±1% 0402</t>
  </si>
  <si>
    <t>667-ERJ-2RKF1000X</t>
  </si>
  <si>
    <t>RTRIM</t>
  </si>
  <si>
    <t>RES SMD 243Ω ±1% 0402</t>
  </si>
  <si>
    <t>RES SMD 30.9kΩ ±1% 0402</t>
  </si>
  <si>
    <t>667-ERJ-2RKF3092X</t>
  </si>
  <si>
    <t>RES SMD 100kΩ ±1% 0402</t>
  </si>
  <si>
    <t>667-ERJ-2RKF1003X</t>
  </si>
  <si>
    <t>RUSB</t>
  </si>
  <si>
    <t>RES SMD 1MΩ ±1% 0402</t>
  </si>
  <si>
    <t>ERJ-2RKF1004X</t>
  </si>
  <si>
    <t>R3</t>
  </si>
  <si>
    <t>R4</t>
  </si>
  <si>
    <t>R7</t>
  </si>
  <si>
    <t>R8, R9, R10, R19, R20, R21, R22, R27, R28</t>
  </si>
  <si>
    <t>R13, R14, R17, R18</t>
  </si>
  <si>
    <t>RES SMD 1kΩ 0402</t>
  </si>
  <si>
    <t>R15, R16</t>
  </si>
  <si>
    <t>R11, R12</t>
  </si>
  <si>
    <t>R23, R24, R25, R26</t>
  </si>
  <si>
    <t>PDI</t>
  </si>
  <si>
    <t>L1</t>
  </si>
  <si>
    <t>C8</t>
  </si>
  <si>
    <t>C1</t>
  </si>
  <si>
    <t>C14</t>
  </si>
  <si>
    <t>L2</t>
  </si>
  <si>
    <t>X3</t>
  </si>
  <si>
    <t>X4</t>
  </si>
  <si>
    <t>IC1</t>
  </si>
  <si>
    <t>JACK</t>
  </si>
  <si>
    <t>IC4</t>
  </si>
  <si>
    <t>STATE</t>
  </si>
  <si>
    <t>IC7</t>
  </si>
  <si>
    <t>D1</t>
  </si>
  <si>
    <t>OSC1</t>
  </si>
  <si>
    <t>CLKIN</t>
  </si>
  <si>
    <t>IC2</t>
  </si>
  <si>
    <t>IC3</t>
  </si>
  <si>
    <t>USB</t>
  </si>
  <si>
    <t>IC5</t>
  </si>
  <si>
    <t>C50, C51</t>
  </si>
  <si>
    <t>C7, C9, C17, C18, C44, C45</t>
  </si>
  <si>
    <t>C32, C33, C38, C39</t>
  </si>
  <si>
    <t>C2, C4</t>
  </si>
  <si>
    <t>C21, C31</t>
  </si>
  <si>
    <t>C11, C12</t>
  </si>
  <si>
    <t>C5, C6</t>
  </si>
  <si>
    <t>L3, L4</t>
  </si>
  <si>
    <t>IC10, IC11</t>
  </si>
  <si>
    <t>X1, X2</t>
  </si>
  <si>
    <t>Q1, Q2</t>
  </si>
  <si>
    <t>IC6, IC12</t>
  </si>
  <si>
    <t>IC8, IC9</t>
  </si>
  <si>
    <t>Q3, Q4</t>
  </si>
  <si>
    <t>IC13, IC14, IC15, IC16</t>
  </si>
  <si>
    <t>IC17, IC18</t>
  </si>
  <si>
    <t>RES SMD 33Ω 0402</t>
  </si>
  <si>
    <t>C10, C13, C15, C16, C19, C20, C22, C23, C24, C25, C26, C27, C28, C29, C30, C34, C35, C36, C37, C40, C41, C42, C43, C46, C47, C48, C49, C52, C53</t>
  </si>
  <si>
    <t>CAP 1uF</t>
  </si>
  <si>
    <t>CAP 10nF</t>
  </si>
  <si>
    <t>ESD Protection Low Cap</t>
  </si>
  <si>
    <t>511-USBLC6-2SC6Y</t>
  </si>
  <si>
    <t>Conversores CC/CC sem isolação 3-14Vin 0.6-5.5Vout 2A</t>
  </si>
  <si>
    <t>894-NQR002A0X4Z</t>
  </si>
  <si>
    <t>LDO 250mA Ultra-Lo Noise LDO Reg 3.3V</t>
  </si>
  <si>
    <t>595-LP5907MFX-3.3NPB</t>
  </si>
  <si>
    <t>IC USB USB to Serial UART Enhanced IC SSOP-28</t>
  </si>
  <si>
    <t>Reguladores de tensão de LDO Sgl Output LDO 1.5A Adj Lo Noise Hi PSRR</t>
  </si>
  <si>
    <t>595-TPS78601DRBR</t>
  </si>
  <si>
    <t>Microcontroladores de 8 bits - MCU 100TQFP, IND TEMP GREEN, 1.6-3.6V</t>
  </si>
  <si>
    <t>556-ATXMEGA128A1U-AU</t>
  </si>
  <si>
    <t>SingleBuffer / Driver, 1.65V to 5.5V, SOT-23-5</t>
  </si>
  <si>
    <t>595-SN74LVC1G125DBVR</t>
  </si>
  <si>
    <t xml:space="preserve">584-ADA4528-2ARMZ </t>
  </si>
  <si>
    <t>Dual Op-Amp de Precisão Low Noise</t>
  </si>
  <si>
    <t>Precision Buffered Voltage Reference 5V</t>
  </si>
  <si>
    <t xml:space="preserve">579-MCP1502T-50E/CHY </t>
  </si>
  <si>
    <t xml:space="preserve">700-MAX5441BEUA </t>
  </si>
  <si>
    <t>DAC 5V 16 bits</t>
  </si>
  <si>
    <t>Flash Memory</t>
  </si>
  <si>
    <t xml:space="preserve">522-FZT692BTA </t>
  </si>
  <si>
    <t>BJT NPN High Gain</t>
  </si>
  <si>
    <t>DMG1012UW  MOSFET N Channel, 1 A, 20 V, 0.3 ohm, 4.5 V, 500 mV</t>
  </si>
  <si>
    <t>621-DMG1012UW-7</t>
  </si>
  <si>
    <t>Indutores fixos LPS4012 Low Profile 1.5uH 2.2A 20% SMD</t>
  </si>
  <si>
    <t>40ohms 100MHz 1.5A Monolithic 0805 SMD</t>
  </si>
  <si>
    <t>875-MI0805K400R-10</t>
  </si>
  <si>
    <t>994-LPS4012-152MRC</t>
  </si>
  <si>
    <t>FERRITE BEAD 600Ω 500mA 300mΩ 0805</t>
  </si>
  <si>
    <t>875-HZ0805E601R-10</t>
  </si>
  <si>
    <t>CC PCB 2.1MM</t>
  </si>
  <si>
    <t>163-179PH-EX</t>
  </si>
  <si>
    <t>32MHz 10ppm</t>
  </si>
  <si>
    <t>998-1001CI5032.0000T</t>
  </si>
  <si>
    <t>SMT 3.5 STEREO REEL</t>
  </si>
  <si>
    <t>502-35RASMT2BHNTRX</t>
  </si>
  <si>
    <t xml:space="preserve">6P DR UNSHRD HRD </t>
  </si>
  <si>
    <t>649-67996-206HLF</t>
  </si>
  <si>
    <t>Horizontal, Header, 3.5 mm, 2 Ways, 10 A, 250 V, Through Hole Right Angle</t>
  </si>
  <si>
    <t>20.155MH/2-E</t>
  </si>
  <si>
    <t>Horizontal, Header, 3.5 mm, 4 Ways, 10 A, 250 V, Through Hole Right Angle</t>
  </si>
  <si>
    <t>20.155MH/4-E</t>
  </si>
  <si>
    <t>20.1550M/2-E  Pluggable Terminal Block, 3.5 mm, 2 Ways</t>
  </si>
  <si>
    <t>20.1550M/4-E -  Pluggable Terminal Block, 3.5 mm, 4 Ways</t>
  </si>
  <si>
    <t>20.155MH/6-E</t>
  </si>
  <si>
    <t>Horizontal, Header, 3.5 mm, 6 Ways, 10 A, 250 V, Through Hole Right Angle</t>
  </si>
  <si>
    <t>20.1550M/2-E</t>
  </si>
  <si>
    <t>20.1550M/4-E</t>
  </si>
  <si>
    <t>20.1550M/6-E</t>
  </si>
  <si>
    <t>20.1550M/6-E -  Pluggable Terminal Block, 3.5 mm, 6 Ways</t>
  </si>
  <si>
    <t>UX60-MB-5S8(70)</t>
  </si>
  <si>
    <t>LED, Green, 1.6mm x 0.8mm, 566 nm, 2.1 V, 20 mA, 15 mcd</t>
  </si>
  <si>
    <t xml:space="preserve">78-TLMP1100-GS15 </t>
  </si>
  <si>
    <t>71-ALSR105R000FE12</t>
  </si>
  <si>
    <t>579-25VF016B5IS2AF</t>
  </si>
  <si>
    <t>279-RP73PF1E1K0BTD</t>
  </si>
  <si>
    <t>603-RC0402FR-7D33RL</t>
  </si>
  <si>
    <t>81-GRM40X105K10L</t>
  </si>
  <si>
    <t>RES TH 5Ω ±1% 7W</t>
  </si>
  <si>
    <t>81-GCM155R71H103KA5D</t>
  </si>
  <si>
    <t>603-RC0402FR-072K49L</t>
  </si>
  <si>
    <t>621-SDM100K30L-7</t>
  </si>
  <si>
    <t>Diodos e retificadores Schottky 1.0A 30V</t>
  </si>
  <si>
    <t>UX60SC-MB-5S8(80)</t>
  </si>
  <si>
    <t>FT232RNL-REEL</t>
  </si>
  <si>
    <t>81-GRM155R71C104KA88</t>
  </si>
  <si>
    <t>CAP CER 100nF 16V ±10% X5R 0402</t>
  </si>
  <si>
    <t>81-GRM155R61A334KE5D</t>
  </si>
  <si>
    <t>R1, R29, R31</t>
  </si>
  <si>
    <t>RES SMD 101kΩ ±1% 0402</t>
  </si>
  <si>
    <t>660-RN73H1ETP1013F50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</si>
</sst>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(&quot;$&quot;* #,##0.00_);_(&quot;$&quot;* \(#,##0.00\);_(&quot;$&quot;* &quot;-&quot;??_);_(@_)"/>
    <numFmt numFmtId="165" formatCode="#,##0.00\ [$€-816];[Red]\-#,##0.00\ [$€-816]"/>
    <numFmt numFmtId="166" formatCode="#,##0.00\ [$€-1]"/>
    <numFmt numFmtId="167" formatCode="_-[$€-2]\ * #,##0.00_-;\-[$€-2]\ * #,##0.00_-;_-[$€-2]\ * \-??_-;_-@_-"/>
    <numFmt numFmtId="168" formatCode="_-* #,##0.00\ [$€-1]_-;\-* #,##0.00\ [$€-1]_-;_-* &quot;-&quot;??\ [$€-1]_-;_-@"/>
    <numFmt numFmtId="169" formatCode="_-* #,##0.00\ [$€-816]_-;\-* #,##0.00\ [$€-816]_-;_-* &quot;-&quot;??\ [$€-816]_-;_-@_-"/>
  </numFmts>
  <fonts count="10" x14ac:knownFonts="1">
    <font>
      <sz val="11"/>
      <color theme="1"/>
      <name val="Calibri"/>
      <family val="2"/>
      <charset val="1"/>
    </font>
    <font>
      <b/>
      <sz val="11"/>
      <color theme="1"/>
      <name val="Calibri"/>
      <family val="2"/>
      <charset val="1"/>
    </font>
    <font>
      <b/>
      <sz val="11"/>
      <name val="Calibri"/>
      <family val="2"/>
      <charset val="1"/>
    </font>
    <font>
      <sz val="11"/>
      <name val="Calibri"/>
      <family val="2"/>
      <charset val="1"/>
    </font>
    <font>
      <sz val="11"/>
      <color rgb="FF3F3F76"/>
      <name val="Calibri"/>
      <family val="2"/>
      <charset val="1"/>
    </font>
    <font>
      <sz val="11"/>
      <color theme="1"/>
      <name val="Calibri"/>
      <family val="2"/>
      <charset val="1"/>
    </font>
    <font>
      <b/>
      <sz val="11"/>
      <name val="Calibri"/>
      <family val="2"/>
    </font>
    <font>
      <sz val="11"/>
      <color theme="1"/>
      <name val="Calibri"/>
      <family val="2"/>
    </font>
    <font>
      <sz val="11"/>
      <name val="Calibri"/>
      <family val="2"/>
      <scheme val="minor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CC"/>
        <bgColor rgb="FFFFFFFF"/>
      </patternFill>
    </fill>
    <fill>
      <patternFill patternType="solid">
        <fgColor rgb="FFFFCC99"/>
        <bgColor rgb="FFFFFF99"/>
      </patternFill>
    </fill>
  </fills>
  <borders count="6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 style="dotted">
        <color rgb="FF000000"/>
      </top>
      <bottom/>
      <diagonal/>
    </border>
  </borders>
  <cellStyleXfs count="3">
    <xf numFmtId="0" fontId="0" fillId="0" borderId="0"/>
    <xf numFmtId="0" fontId="5" fillId="2" borderId="1" applyProtection="0"/>
    <xf numFmtId="0" fontId="4" fillId="3" borderId="2" applyProtection="0"/>
  </cellStyleXfs>
  <cellXfs count="59">
    <xf numFmtId="0" fontId="0" fillId="0" borderId="0" xfId="0"/>
    <xf numFmtId="0" fontId="1" fillId="0" borderId="3" xfId="0" applyFont="1" applyBorder="1" applyAlignment="1">
      <alignment horizontal="center"/>
    </xf>
    <xf numFmtId="0" fontId="1" fillId="0" borderId="3" xfId="0" applyFont="1" applyBorder="1"/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3" fillId="0" borderId="0" xfId="1" applyFont="1" applyFill="1" applyBorder="1" applyAlignment="1" applyProtection="1">
      <alignment vertical="center"/>
    </xf>
    <xf numFmtId="0" fontId="4" fillId="0" borderId="0" xfId="2" applyFill="1" applyBorder="1" applyAlignment="1" applyProtection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165" fontId="0" fillId="0" borderId="0" xfId="0" applyNumberFormat="1"/>
    <xf numFmtId="166" fontId="0" fillId="0" borderId="0" xfId="0" applyNumberFormat="1"/>
    <xf numFmtId="0" fontId="0" fillId="0" borderId="4" xfId="0" applyBorder="1" applyAlignment="1">
      <alignment horizontal="center" vertical="center"/>
    </xf>
    <xf numFmtId="0" fontId="0" fillId="0" borderId="4" xfId="0" applyBorder="1" applyAlignment="1">
      <alignment vertical="center"/>
    </xf>
    <xf numFmtId="0" fontId="0" fillId="0" borderId="4" xfId="0" applyBorder="1" applyAlignment="1">
      <alignment horizontal="left" vertical="center"/>
    </xf>
    <xf numFmtId="166" fontId="0" fillId="0" borderId="4" xfId="0" applyNumberFormat="1" applyBorder="1"/>
    <xf numFmtId="0" fontId="0" fillId="0" borderId="0" xfId="0" applyAlignment="1">
      <alignment horizontal="left" vertical="center"/>
    </xf>
    <xf numFmtId="0" fontId="0" fillId="0" borderId="3" xfId="0" applyBorder="1" applyAlignment="1">
      <alignment horizontal="center" vertical="center"/>
    </xf>
    <xf numFmtId="0" fontId="0" fillId="0" borderId="3" xfId="0" applyBorder="1" applyAlignment="1">
      <alignment vertical="center"/>
    </xf>
    <xf numFmtId="0" fontId="0" fillId="0" borderId="3" xfId="0" applyBorder="1" applyAlignment="1">
      <alignment horizontal="left" vertical="center"/>
    </xf>
    <xf numFmtId="166" fontId="0" fillId="0" borderId="3" xfId="0" applyNumberFormat="1" applyBorder="1"/>
    <xf numFmtId="166" fontId="1" fillId="0" borderId="0" xfId="0" applyNumberFormat="1" applyFont="1" applyAlignment="1">
      <alignment horizontal="right" vertical="center"/>
    </xf>
    <xf numFmtId="166" fontId="1" fillId="0" borderId="0" xfId="0" applyNumberFormat="1" applyFont="1" applyAlignment="1">
      <alignment vertical="center"/>
    </xf>
    <xf numFmtId="166" fontId="0" fillId="0" borderId="0" xfId="0" applyNumberFormat="1" applyAlignment="1">
      <alignment vertical="center"/>
    </xf>
    <xf numFmtId="0" fontId="3" fillId="0" borderId="0" xfId="0" applyFont="1"/>
    <xf numFmtId="0" fontId="2" fillId="0" borderId="0" xfId="0" applyFont="1" applyAlignment="1">
      <alignment horizontal="right"/>
    </xf>
    <xf numFmtId="167" fontId="2" fillId="0" borderId="0" xfId="0" applyNumberFormat="1" applyFont="1"/>
    <xf numFmtId="0" fontId="6" fillId="0" borderId="0" xfId="0" applyFont="1" applyAlignment="1">
      <alignment vertical="center"/>
    </xf>
    <xf numFmtId="0" fontId="7" fillId="0" borderId="5" xfId="0" applyFont="1" applyBorder="1" applyAlignment="1">
      <alignment horizontal="left" vertical="center" wrapText="1"/>
    </xf>
    <xf numFmtId="0" fontId="7" fillId="0" borderId="5" xfId="0" applyFont="1" applyBorder="1" applyAlignment="1">
      <alignment horizontal="center" vertical="center"/>
    </xf>
    <xf numFmtId="168" fontId="7" fillId="0" borderId="5" xfId="0" applyNumberFormat="1" applyFont="1" applyBorder="1" applyAlignment="1">
      <alignment horizontal="left" vertical="center"/>
    </xf>
    <xf numFmtId="168" fontId="7" fillId="0" borderId="5" xfId="0" applyNumberFormat="1" applyFont="1" applyBorder="1" applyAlignment="1">
      <alignment horizontal="center" vertical="center"/>
    </xf>
    <xf numFmtId="0" fontId="7" fillId="0" borderId="5" xfId="0" applyFont="1" applyBorder="1" applyAlignment="1">
      <alignment horizontal="left" vertical="center"/>
    </xf>
    <xf numFmtId="168" fontId="7" fillId="0" borderId="5" xfId="0" applyNumberFormat="1" applyFont="1" applyBorder="1" applyAlignment="1">
      <alignment vertical="center"/>
    </xf>
    <xf numFmtId="0" fontId="7" fillId="0" borderId="0" xfId="0" applyFont="1" applyAlignment="1">
      <alignment horizontal="left" vertical="center" wrapText="1"/>
    </xf>
    <xf numFmtId="0" fontId="7" fillId="0" borderId="0" xfId="0" applyFont="1" applyAlignment="1">
      <alignment horizontal="center" vertical="center"/>
    </xf>
    <xf numFmtId="168" fontId="7" fillId="0" borderId="0" xfId="0" applyNumberFormat="1" applyFont="1" applyAlignment="1">
      <alignment horizontal="left" vertical="center"/>
    </xf>
    <xf numFmtId="168" fontId="7" fillId="0" borderId="0" xfId="0" applyNumberFormat="1" applyFont="1" applyAlignment="1">
      <alignment horizontal="center" vertical="center"/>
    </xf>
    <xf numFmtId="0" fontId="7" fillId="0" borderId="0" xfId="0" applyFont="1" applyAlignment="1">
      <alignment horizontal="left" vertical="center"/>
    </xf>
    <xf numFmtId="168" fontId="7" fillId="0" borderId="0" xfId="0" applyNumberFormat="1" applyFont="1" applyAlignment="1">
      <alignment vertical="center"/>
    </xf>
    <xf numFmtId="164" fontId="7" fillId="0" borderId="5" xfId="0" applyNumberFormat="1" applyFont="1" applyBorder="1" applyAlignment="1">
      <alignment horizontal="left" vertical="center"/>
    </xf>
    <xf numFmtId="164" fontId="7" fillId="0" borderId="0" xfId="0" applyNumberFormat="1" applyFont="1" applyAlignment="1">
      <alignment horizontal="left" vertical="center"/>
    </xf>
    <xf numFmtId="164" fontId="0" fillId="0" borderId="0" xfId="0" applyNumberFormat="1" applyAlignment="1">
      <alignment vertical="center"/>
    </xf>
    <xf numFmtId="164" fontId="0" fillId="0" borderId="4" xfId="0" applyNumberFormat="1" applyBorder="1" applyAlignment="1">
      <alignment vertical="center"/>
    </xf>
    <xf numFmtId="164" fontId="0" fillId="0" borderId="3" xfId="0" applyNumberFormat="1" applyBorder="1" applyAlignment="1">
      <alignment vertical="center"/>
    </xf>
    <xf numFmtId="164" fontId="1" fillId="0" borderId="0" xfId="0" applyNumberFormat="1" applyFont="1" applyAlignment="1">
      <alignment vertical="center"/>
    </xf>
    <xf numFmtId="164" fontId="0" fillId="0" borderId="0" xfId="0" applyNumberFormat="1"/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 vertical="center"/>
    </xf>
    <xf numFmtId="164" fontId="7" fillId="0" borderId="0" xfId="0" applyNumberFormat="1" applyFont="1" applyAlignment="1">
      <alignment horizontal="center" vertical="center"/>
    </xf>
    <xf numFmtId="164" fontId="7" fillId="0" borderId="5" xfId="0" applyNumberFormat="1" applyFont="1" applyBorder="1" applyAlignment="1">
      <alignment horizontal="center" vertical="center"/>
    </xf>
    <xf numFmtId="169" fontId="0" fillId="0" borderId="0" xfId="0" applyNumberFormat="1"/>
    <xf numFmtId="169" fontId="7" fillId="0" borderId="0" xfId="0" applyNumberFormat="1" applyFont="1" applyAlignment="1">
      <alignment vertical="center"/>
    </xf>
    <xf numFmtId="169" fontId="7" fillId="0" borderId="5" xfId="0" applyNumberFormat="1" applyFont="1" applyBorder="1" applyAlignment="1">
      <alignment vertical="center"/>
    </xf>
    <xf numFmtId="169" fontId="0" fillId="0" borderId="0" xfId="0" applyNumberFormat="1" applyAlignment="1">
      <alignment vertical="center"/>
    </xf>
    <xf numFmtId="0" fontId="8" fillId="0" borderId="0" xfId="0" applyFont="1" applyAlignment="1">
      <alignment horizontal="left" vertical="center"/>
    </xf>
    <xf numFmtId="0" fontId="8" fillId="0" borderId="0" xfId="0" applyFont="1" applyAlignment="1">
      <alignment horizontal="center" vertical="center"/>
    </xf>
    <xf numFmtId="164" fontId="8" fillId="0" borderId="0" xfId="0" applyNumberFormat="1" applyFont="1" applyAlignment="1">
      <alignment horizontal="left" vertical="center"/>
    </xf>
    <xf numFmtId="169" fontId="9" fillId="0" borderId="0" xfId="0" applyNumberFormat="1" applyFont="1" applyAlignment="1">
      <alignment horizontal="center"/>
    </xf>
    <xf numFmtId="0" fontId="9" fillId="0" borderId="0" xfId="0" applyFont="1" applyAlignment="1">
      <alignment horizontal="left"/>
    </xf>
  </cellXfs>
  <cellStyles count="3">
    <cellStyle name="Excel Built-in Input" xfId="2" xr:uid="{00000000-0005-0000-0000-000007000000}"/>
    <cellStyle name="Excel Built-in Note" xfId="1" xr:uid="{00000000-0005-0000-0000-000006000000}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2B2B2"/>
      <rgbColor rgb="FF7F7F7F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F3F76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84"/>
  <sheetViews>
    <sheetView tabSelected="1" zoomScaleNormal="100" workbookViewId="0">
      <pane ySplit="1" topLeftCell="A2" activePane="bottomLeft" state="frozen"/>
      <selection pane="bottomLeft" activeCell="E13" sqref="E13"/>
    </sheetView>
  </sheetViews>
  <sheetFormatPr defaultColWidth="8.5546875" defaultRowHeight="14.4" x14ac:dyDescent="0.3"/>
  <cols>
    <col min="2" max="2" width="38.6640625" customWidth="1"/>
    <col min="3" max="3" width="56.44140625" style="45" customWidth="1"/>
    <col min="4" max="4" width="15.109375" customWidth="1"/>
    <col min="5" max="5" width="27.33203125" customWidth="1"/>
    <col min="6" max="6" width="12.88671875" customWidth="1"/>
    <col min="7" max="7" width="12" customWidth="1"/>
    <col min="13" max="13" width="16.6640625" customWidth="1"/>
    <col min="14" max="14" width="17.44140625" customWidth="1"/>
    <col min="15" max="15" width="14.6640625" customWidth="1"/>
  </cols>
  <sheetData>
    <row r="1" spans="1:11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3" t="s">
        <v>6</v>
      </c>
      <c r="H1" s="26" t="s">
        <v>12</v>
      </c>
      <c r="I1" s="4"/>
      <c r="J1" s="5"/>
      <c r="K1" s="6"/>
    </row>
    <row r="2" spans="1:11" x14ac:dyDescent="0.3">
      <c r="A2" s="28">
        <v>3</v>
      </c>
      <c r="B2" s="27" t="s">
        <v>168</v>
      </c>
      <c r="C2" s="39" t="s">
        <v>36</v>
      </c>
      <c r="D2" s="30" t="s">
        <v>7</v>
      </c>
      <c r="E2" s="31" t="s">
        <v>37</v>
      </c>
      <c r="F2" s="32">
        <v>0.111</v>
      </c>
      <c r="G2" s="32">
        <f>F2*A2</f>
        <v>0.33300000000000002</v>
      </c>
      <c r="H2" s="4"/>
      <c r="I2" s="4"/>
      <c r="J2" s="5"/>
      <c r="K2" s="6"/>
    </row>
    <row r="3" spans="1:11" x14ac:dyDescent="0.3">
      <c r="A3" s="34">
        <v>1</v>
      </c>
      <c r="B3" s="33" t="s">
        <v>51</v>
      </c>
      <c r="C3" s="40" t="s">
        <v>169</v>
      </c>
      <c r="D3" s="36" t="s">
        <v>7</v>
      </c>
      <c r="E3" t="s">
        <v>170</v>
      </c>
      <c r="F3" s="38">
        <v>0.252</v>
      </c>
      <c r="G3" s="10">
        <f t="shared" ref="G3:G54" si="0">F3*A3</f>
        <v>0.252</v>
      </c>
      <c r="I3" s="4"/>
      <c r="J3" s="5"/>
      <c r="K3" s="6"/>
    </row>
    <row r="4" spans="1:11" x14ac:dyDescent="0.3">
      <c r="A4" s="34">
        <v>1</v>
      </c>
      <c r="B4" s="33" t="s">
        <v>52</v>
      </c>
      <c r="C4" s="40" t="s">
        <v>44</v>
      </c>
      <c r="D4" s="36" t="s">
        <v>7</v>
      </c>
      <c r="E4" s="37" t="s">
        <v>45</v>
      </c>
      <c r="F4" s="38">
        <v>0.153</v>
      </c>
      <c r="G4" s="10">
        <f t="shared" si="0"/>
        <v>0.153</v>
      </c>
      <c r="H4" s="4"/>
      <c r="I4" s="4"/>
      <c r="J4" s="5"/>
      <c r="K4" s="6"/>
    </row>
    <row r="5" spans="1:11" x14ac:dyDescent="0.3">
      <c r="A5" s="34">
        <v>1</v>
      </c>
      <c r="B5" s="33" t="s">
        <v>53</v>
      </c>
      <c r="C5" s="40" t="s">
        <v>38</v>
      </c>
      <c r="D5" s="36" t="s">
        <v>7</v>
      </c>
      <c r="E5" s="37" t="s">
        <v>39</v>
      </c>
      <c r="F5" s="38">
        <v>0.111</v>
      </c>
      <c r="G5" s="10">
        <f t="shared" si="0"/>
        <v>0.111</v>
      </c>
      <c r="H5" s="4"/>
      <c r="I5" s="4"/>
      <c r="J5" s="5"/>
      <c r="K5" s="6"/>
    </row>
    <row r="6" spans="1:11" x14ac:dyDescent="0.3">
      <c r="A6" s="34">
        <v>9</v>
      </c>
      <c r="B6" s="33" t="s">
        <v>54</v>
      </c>
      <c r="C6" s="40" t="s">
        <v>46</v>
      </c>
      <c r="D6" s="36" t="s">
        <v>7</v>
      </c>
      <c r="E6" s="37" t="s">
        <v>47</v>
      </c>
      <c r="F6" s="38">
        <v>0.153</v>
      </c>
      <c r="G6" s="10">
        <f t="shared" si="0"/>
        <v>1.377</v>
      </c>
      <c r="H6" s="4" t="s">
        <v>21</v>
      </c>
      <c r="I6" s="4"/>
      <c r="J6" s="5"/>
      <c r="K6" s="6"/>
    </row>
    <row r="7" spans="1:11" x14ac:dyDescent="0.3">
      <c r="A7" s="34">
        <v>2</v>
      </c>
      <c r="B7" s="33" t="s">
        <v>58</v>
      </c>
      <c r="C7" s="45" t="s">
        <v>158</v>
      </c>
      <c r="D7" s="36" t="s">
        <v>7</v>
      </c>
      <c r="E7" s="37" t="s">
        <v>153</v>
      </c>
      <c r="F7" s="50">
        <v>2.2200000000000002</v>
      </c>
      <c r="G7" s="10">
        <f t="shared" si="0"/>
        <v>4.4400000000000004</v>
      </c>
      <c r="H7" s="4"/>
      <c r="I7" s="4"/>
      <c r="J7" s="5"/>
      <c r="K7" s="6"/>
    </row>
    <row r="8" spans="1:11" x14ac:dyDescent="0.3">
      <c r="A8" s="34">
        <v>4</v>
      </c>
      <c r="B8" s="33" t="s">
        <v>55</v>
      </c>
      <c r="C8" s="40" t="s">
        <v>40</v>
      </c>
      <c r="D8" s="48" t="s">
        <v>7</v>
      </c>
      <c r="E8" s="37" t="s">
        <v>41</v>
      </c>
      <c r="F8" s="51">
        <v>0.153</v>
      </c>
      <c r="G8" s="10">
        <f>F8*A8</f>
        <v>0.61199999999999999</v>
      </c>
      <c r="H8" s="4"/>
      <c r="I8" s="4"/>
      <c r="J8" s="5"/>
      <c r="K8" s="6"/>
    </row>
    <row r="9" spans="1:11" x14ac:dyDescent="0.3">
      <c r="A9" s="7">
        <v>2</v>
      </c>
      <c r="B9" s="8" t="s">
        <v>57</v>
      </c>
      <c r="C9" s="41" t="s">
        <v>56</v>
      </c>
      <c r="D9" s="47" t="s">
        <v>7</v>
      </c>
      <c r="E9" t="s">
        <v>155</v>
      </c>
      <c r="F9" s="50">
        <v>0.186</v>
      </c>
      <c r="G9" s="10">
        <f>F9*A9</f>
        <v>0.372</v>
      </c>
      <c r="H9" s="4"/>
    </row>
    <row r="10" spans="1:11" x14ac:dyDescent="0.3">
      <c r="A10" s="7">
        <v>4</v>
      </c>
      <c r="B10" s="8" t="s">
        <v>59</v>
      </c>
      <c r="C10" s="41" t="s">
        <v>96</v>
      </c>
      <c r="D10" s="47" t="s">
        <v>7</v>
      </c>
      <c r="E10" t="s">
        <v>156</v>
      </c>
      <c r="F10" s="50">
        <v>9.2999999999999999E-2</v>
      </c>
      <c r="G10" s="10">
        <f t="shared" si="0"/>
        <v>0.372</v>
      </c>
      <c r="H10" s="4"/>
    </row>
    <row r="11" spans="1:11" x14ac:dyDescent="0.3">
      <c r="A11" s="34">
        <v>1</v>
      </c>
      <c r="B11" s="33" t="s">
        <v>42</v>
      </c>
      <c r="C11" s="35" t="s">
        <v>43</v>
      </c>
      <c r="D11" s="48" t="s">
        <v>7</v>
      </c>
      <c r="E11" s="37" t="s">
        <v>160</v>
      </c>
      <c r="F11" s="51">
        <v>0.153</v>
      </c>
      <c r="G11" s="10">
        <f t="shared" si="0"/>
        <v>0.153</v>
      </c>
    </row>
    <row r="12" spans="1:11" x14ac:dyDescent="0.3">
      <c r="A12" s="34">
        <v>1</v>
      </c>
      <c r="B12" s="33" t="s">
        <v>48</v>
      </c>
      <c r="C12" s="35" t="s">
        <v>49</v>
      </c>
      <c r="D12" s="48" t="s">
        <v>7</v>
      </c>
      <c r="E12" s="37" t="s">
        <v>50</v>
      </c>
      <c r="F12" s="51">
        <v>0.153</v>
      </c>
      <c r="G12" s="10">
        <f t="shared" si="0"/>
        <v>0.153</v>
      </c>
    </row>
    <row r="13" spans="1:11" x14ac:dyDescent="0.3">
      <c r="A13" s="34">
        <v>1</v>
      </c>
      <c r="B13" s="33" t="s">
        <v>63</v>
      </c>
      <c r="C13" s="35" t="s">
        <v>27</v>
      </c>
      <c r="D13" s="48" t="s">
        <v>7</v>
      </c>
      <c r="E13" s="37" t="s">
        <v>28</v>
      </c>
      <c r="F13" s="51">
        <v>2.2400000000000002</v>
      </c>
      <c r="G13" s="10">
        <f t="shared" si="0"/>
        <v>2.2400000000000002</v>
      </c>
    </row>
    <row r="14" spans="1:11" x14ac:dyDescent="0.3">
      <c r="A14" s="34">
        <v>2</v>
      </c>
      <c r="B14" s="33" t="s">
        <v>83</v>
      </c>
      <c r="C14" s="35" t="s">
        <v>29</v>
      </c>
      <c r="D14" s="48" t="s">
        <v>7</v>
      </c>
      <c r="E14" s="37" t="s">
        <v>30</v>
      </c>
      <c r="F14" s="51">
        <v>0.83599999999999997</v>
      </c>
      <c r="G14" s="10">
        <f t="shared" si="0"/>
        <v>1.6719999999999999</v>
      </c>
    </row>
    <row r="15" spans="1:11" x14ac:dyDescent="0.3">
      <c r="A15" s="34">
        <v>1</v>
      </c>
      <c r="B15" s="33" t="s">
        <v>33</v>
      </c>
      <c r="C15" s="35" t="s">
        <v>34</v>
      </c>
      <c r="D15" s="48" t="s">
        <v>7</v>
      </c>
      <c r="E15" s="37" t="s">
        <v>35</v>
      </c>
      <c r="F15" s="51">
        <v>1.53</v>
      </c>
      <c r="G15" s="10">
        <f t="shared" si="0"/>
        <v>1.53</v>
      </c>
    </row>
    <row r="16" spans="1:11" x14ac:dyDescent="0.3">
      <c r="A16" s="34">
        <v>2</v>
      </c>
      <c r="B16" s="33" t="s">
        <v>86</v>
      </c>
      <c r="C16" s="35" t="s">
        <v>31</v>
      </c>
      <c r="D16" s="48" t="s">
        <v>7</v>
      </c>
      <c r="E16" s="37" t="s">
        <v>32</v>
      </c>
      <c r="F16" s="51">
        <v>0.73099999999999998</v>
      </c>
      <c r="G16" s="10">
        <f t="shared" si="0"/>
        <v>1.462</v>
      </c>
    </row>
    <row r="17" spans="1:8" x14ac:dyDescent="0.3">
      <c r="A17" s="34">
        <v>6</v>
      </c>
      <c r="B17" s="33" t="s">
        <v>81</v>
      </c>
      <c r="C17" s="35" t="s">
        <v>25</v>
      </c>
      <c r="D17" s="48" t="s">
        <v>7</v>
      </c>
      <c r="E17" s="37" t="s">
        <v>26</v>
      </c>
      <c r="F17" s="51">
        <v>0.36099999999999999</v>
      </c>
      <c r="G17" s="10">
        <f t="shared" si="0"/>
        <v>2.1659999999999999</v>
      </c>
      <c r="H17" t="s">
        <v>21</v>
      </c>
    </row>
    <row r="18" spans="1:8" ht="15.15" customHeight="1" x14ac:dyDescent="0.3">
      <c r="A18" s="46">
        <v>1</v>
      </c>
      <c r="B18" t="s">
        <v>62</v>
      </c>
      <c r="C18" s="29" t="s">
        <v>13</v>
      </c>
      <c r="D18" s="49" t="s">
        <v>7</v>
      </c>
      <c r="E18" s="31" t="s">
        <v>14</v>
      </c>
      <c r="F18" s="52">
        <v>9.2999999999999999E-2</v>
      </c>
      <c r="G18" s="10">
        <f t="shared" si="0"/>
        <v>9.2999999999999999E-2</v>
      </c>
      <c r="H18" s="4"/>
    </row>
    <row r="19" spans="1:8" ht="57.6" x14ac:dyDescent="0.3">
      <c r="A19" s="34">
        <v>29</v>
      </c>
      <c r="B19" s="33" t="s">
        <v>97</v>
      </c>
      <c r="C19" s="35" t="s">
        <v>166</v>
      </c>
      <c r="D19" s="48" t="s">
        <v>20</v>
      </c>
      <c r="E19" s="37" t="s">
        <v>165</v>
      </c>
      <c r="F19" s="51">
        <v>6.3E-3</v>
      </c>
      <c r="G19" s="22">
        <f t="shared" si="0"/>
        <v>0.1827</v>
      </c>
      <c r="H19" s="8" t="s">
        <v>21</v>
      </c>
    </row>
    <row r="20" spans="1:8" ht="15.15" customHeight="1" x14ac:dyDescent="0.3">
      <c r="A20" s="34">
        <v>2</v>
      </c>
      <c r="B20" s="33" t="s">
        <v>85</v>
      </c>
      <c r="C20" s="35" t="s">
        <v>15</v>
      </c>
      <c r="D20" s="48" t="s">
        <v>7</v>
      </c>
      <c r="E20" s="37" t="s">
        <v>16</v>
      </c>
      <c r="F20" s="51">
        <v>0.23</v>
      </c>
      <c r="G20" s="10">
        <f t="shared" si="0"/>
        <v>0.46</v>
      </c>
    </row>
    <row r="21" spans="1:8" x14ac:dyDescent="0.3">
      <c r="A21" s="34">
        <v>1</v>
      </c>
      <c r="B21" s="33" t="s">
        <v>64</v>
      </c>
      <c r="C21" s="35" t="s">
        <v>23</v>
      </c>
      <c r="D21" s="48" t="s">
        <v>7</v>
      </c>
      <c r="E21" s="37" t="s">
        <v>24</v>
      </c>
      <c r="F21" s="51">
        <v>0.39</v>
      </c>
      <c r="G21" s="10">
        <f t="shared" si="0"/>
        <v>0.39</v>
      </c>
    </row>
    <row r="22" spans="1:8" x14ac:dyDescent="0.3">
      <c r="A22" s="34">
        <v>2</v>
      </c>
      <c r="B22" s="33" t="s">
        <v>84</v>
      </c>
      <c r="C22" s="35" t="s">
        <v>22</v>
      </c>
      <c r="D22" s="48" t="s">
        <v>7</v>
      </c>
      <c r="E22" s="37" t="s">
        <v>167</v>
      </c>
      <c r="F22" s="51">
        <v>0.11</v>
      </c>
      <c r="G22" s="10">
        <f t="shared" si="0"/>
        <v>0.22</v>
      </c>
    </row>
    <row r="23" spans="1:8" x14ac:dyDescent="0.3">
      <c r="A23" s="46">
        <v>4</v>
      </c>
      <c r="B23" t="s">
        <v>82</v>
      </c>
      <c r="C23" s="41" t="s">
        <v>98</v>
      </c>
      <c r="D23" s="47" t="s">
        <v>7</v>
      </c>
      <c r="E23" t="s">
        <v>157</v>
      </c>
      <c r="F23" s="50">
        <v>0.112</v>
      </c>
      <c r="G23" s="10">
        <f t="shared" si="0"/>
        <v>0.44800000000000001</v>
      </c>
      <c r="H23" s="4"/>
    </row>
    <row r="24" spans="1:8" x14ac:dyDescent="0.3">
      <c r="A24" s="46">
        <v>2</v>
      </c>
      <c r="B24" t="s">
        <v>80</v>
      </c>
      <c r="C24" s="41" t="s">
        <v>99</v>
      </c>
      <c r="D24" s="47" t="s">
        <v>7</v>
      </c>
      <c r="E24" t="s">
        <v>159</v>
      </c>
      <c r="F24" s="53">
        <v>9.2999999999999999E-2</v>
      </c>
      <c r="G24" s="10">
        <f t="shared" si="0"/>
        <v>0.186</v>
      </c>
      <c r="H24" s="4"/>
    </row>
    <row r="25" spans="1:8" x14ac:dyDescent="0.3">
      <c r="A25" s="34">
        <v>1</v>
      </c>
      <c r="B25" s="33" t="s">
        <v>17</v>
      </c>
      <c r="C25" s="35" t="s">
        <v>18</v>
      </c>
      <c r="D25" s="48" t="s">
        <v>7</v>
      </c>
      <c r="E25" s="37" t="s">
        <v>19</v>
      </c>
      <c r="F25" s="51">
        <v>9.4E-2</v>
      </c>
      <c r="G25" s="10">
        <f t="shared" si="0"/>
        <v>9.4E-2</v>
      </c>
    </row>
    <row r="26" spans="1:8" x14ac:dyDescent="0.3">
      <c r="A26" s="46">
        <v>1</v>
      </c>
      <c r="B26" t="s">
        <v>68</v>
      </c>
      <c r="C26" s="35" t="s">
        <v>102</v>
      </c>
      <c r="D26" s="48" t="s">
        <v>7</v>
      </c>
      <c r="E26" s="37" t="s">
        <v>103</v>
      </c>
      <c r="F26" s="51">
        <v>4.53</v>
      </c>
      <c r="G26" s="10">
        <f t="shared" si="0"/>
        <v>4.53</v>
      </c>
    </row>
    <row r="27" spans="1:8" x14ac:dyDescent="0.3">
      <c r="A27" s="46">
        <v>1</v>
      </c>
      <c r="B27" t="s">
        <v>76</v>
      </c>
      <c r="C27" s="35" t="s">
        <v>107</v>
      </c>
      <c r="D27" s="48" t="s">
        <v>7</v>
      </c>
      <c r="E27" s="37" t="s">
        <v>108</v>
      </c>
      <c r="F27" s="51">
        <v>3.93</v>
      </c>
      <c r="G27" s="10">
        <f t="shared" si="0"/>
        <v>3.93</v>
      </c>
    </row>
    <row r="28" spans="1:8" x14ac:dyDescent="0.3">
      <c r="A28" s="46">
        <v>1</v>
      </c>
      <c r="B28" t="s">
        <v>77</v>
      </c>
      <c r="C28" s="35" t="s">
        <v>100</v>
      </c>
      <c r="D28" s="48" t="s">
        <v>7</v>
      </c>
      <c r="E28" s="37" t="s">
        <v>101</v>
      </c>
      <c r="F28" s="51">
        <v>0.94899999999999995</v>
      </c>
      <c r="G28" s="10">
        <f t="shared" si="0"/>
        <v>0.94899999999999995</v>
      </c>
      <c r="H28" s="9"/>
    </row>
    <row r="29" spans="1:8" x14ac:dyDescent="0.3">
      <c r="A29" s="46">
        <v>1</v>
      </c>
      <c r="B29" t="s">
        <v>70</v>
      </c>
      <c r="C29" s="35" t="s">
        <v>106</v>
      </c>
      <c r="D29" s="48" t="s">
        <v>7</v>
      </c>
      <c r="E29" s="37" t="s">
        <v>164</v>
      </c>
      <c r="F29" s="51">
        <v>4.8</v>
      </c>
      <c r="G29" s="10">
        <f t="shared" si="0"/>
        <v>4.8</v>
      </c>
    </row>
    <row r="30" spans="1:8" x14ac:dyDescent="0.3">
      <c r="A30" s="46">
        <v>1</v>
      </c>
      <c r="B30" t="s">
        <v>79</v>
      </c>
      <c r="C30" s="35" t="s">
        <v>109</v>
      </c>
      <c r="D30" s="48" t="s">
        <v>7</v>
      </c>
      <c r="E30" s="37" t="s">
        <v>110</v>
      </c>
      <c r="F30" s="51">
        <v>8.7200000000000006</v>
      </c>
      <c r="G30" s="10">
        <f t="shared" si="0"/>
        <v>8.7200000000000006</v>
      </c>
    </row>
    <row r="31" spans="1:8" x14ac:dyDescent="0.3">
      <c r="A31" s="46">
        <v>2</v>
      </c>
      <c r="B31" t="s">
        <v>91</v>
      </c>
      <c r="C31" s="35" t="s">
        <v>104</v>
      </c>
      <c r="D31" s="48" t="s">
        <v>7</v>
      </c>
      <c r="E31" s="37" t="s">
        <v>105</v>
      </c>
      <c r="F31" s="51">
        <v>0.7</v>
      </c>
      <c r="G31" s="10">
        <f t="shared" si="0"/>
        <v>1.4</v>
      </c>
    </row>
    <row r="32" spans="1:8" x14ac:dyDescent="0.3">
      <c r="A32" s="46">
        <v>1</v>
      </c>
      <c r="B32" t="s">
        <v>72</v>
      </c>
      <c r="C32" s="41" t="s">
        <v>115</v>
      </c>
      <c r="D32" s="47" t="s">
        <v>7</v>
      </c>
      <c r="E32" t="s">
        <v>116</v>
      </c>
      <c r="F32" s="50">
        <v>1.52</v>
      </c>
      <c r="G32" s="10">
        <f t="shared" si="0"/>
        <v>1.52</v>
      </c>
    </row>
    <row r="33" spans="1:7" x14ac:dyDescent="0.3">
      <c r="A33" s="46">
        <v>2</v>
      </c>
      <c r="B33" t="s">
        <v>92</v>
      </c>
      <c r="C33" s="41" t="s">
        <v>118</v>
      </c>
      <c r="D33" s="47" t="s">
        <v>7</v>
      </c>
      <c r="E33" t="s">
        <v>117</v>
      </c>
      <c r="F33" s="50">
        <v>20.74</v>
      </c>
      <c r="G33" s="10">
        <f t="shared" si="0"/>
        <v>41.48</v>
      </c>
    </row>
    <row r="34" spans="1:7" x14ac:dyDescent="0.3">
      <c r="A34" s="46">
        <v>2</v>
      </c>
      <c r="B34" t="s">
        <v>88</v>
      </c>
      <c r="C34" s="41" t="s">
        <v>114</v>
      </c>
      <c r="D34" s="47" t="s">
        <v>7</v>
      </c>
      <c r="E34" t="s">
        <v>113</v>
      </c>
      <c r="F34" s="50">
        <v>5.32</v>
      </c>
      <c r="G34" s="10">
        <f t="shared" si="0"/>
        <v>10.64</v>
      </c>
    </row>
    <row r="35" spans="1:7" x14ac:dyDescent="0.3">
      <c r="A35" s="46">
        <v>4</v>
      </c>
      <c r="B35" t="s">
        <v>94</v>
      </c>
      <c r="C35" s="35" t="s">
        <v>111</v>
      </c>
      <c r="D35" s="48" t="s">
        <v>7</v>
      </c>
      <c r="E35" s="37" t="s">
        <v>112</v>
      </c>
      <c r="F35" s="51">
        <v>0.36</v>
      </c>
      <c r="G35" s="10">
        <f t="shared" si="0"/>
        <v>1.44</v>
      </c>
    </row>
    <row r="36" spans="1:7" x14ac:dyDescent="0.3">
      <c r="A36" s="46">
        <v>2</v>
      </c>
      <c r="B36" t="s">
        <v>95</v>
      </c>
      <c r="C36" s="41" t="s">
        <v>119</v>
      </c>
      <c r="D36" s="47" t="s">
        <v>7</v>
      </c>
      <c r="E36" s="58" t="s">
        <v>154</v>
      </c>
      <c r="F36" s="57">
        <v>1.84</v>
      </c>
      <c r="G36" s="10">
        <f>F36*A36</f>
        <v>3.68</v>
      </c>
    </row>
    <row r="37" spans="1:7" x14ac:dyDescent="0.3">
      <c r="A37" s="46">
        <v>2</v>
      </c>
      <c r="B37" t="s">
        <v>90</v>
      </c>
      <c r="C37" s="41" t="s">
        <v>121</v>
      </c>
      <c r="D37" s="7" t="s">
        <v>7</v>
      </c>
      <c r="E37" t="s">
        <v>120</v>
      </c>
      <c r="F37" s="10">
        <v>0.66</v>
      </c>
      <c r="G37" s="10">
        <f t="shared" si="0"/>
        <v>1.32</v>
      </c>
    </row>
    <row r="38" spans="1:7" x14ac:dyDescent="0.3">
      <c r="A38" s="46">
        <v>2</v>
      </c>
      <c r="B38" t="s">
        <v>93</v>
      </c>
      <c r="C38" s="56" t="s">
        <v>122</v>
      </c>
      <c r="D38" s="55" t="s">
        <v>7</v>
      </c>
      <c r="E38" s="54" t="s">
        <v>123</v>
      </c>
      <c r="F38" s="10">
        <v>0.307</v>
      </c>
      <c r="G38" s="10">
        <f t="shared" si="0"/>
        <v>0.61399999999999999</v>
      </c>
    </row>
    <row r="39" spans="1:7" x14ac:dyDescent="0.3">
      <c r="A39" s="46">
        <v>1</v>
      </c>
      <c r="B39" t="s">
        <v>73</v>
      </c>
      <c r="C39" s="56" t="s">
        <v>162</v>
      </c>
      <c r="D39" s="55" t="s">
        <v>7</v>
      </c>
      <c r="E39" s="54" t="s">
        <v>161</v>
      </c>
      <c r="F39" s="10">
        <v>0.39100000000000001</v>
      </c>
      <c r="G39" s="10">
        <f t="shared" si="0"/>
        <v>0.39100000000000001</v>
      </c>
    </row>
    <row r="40" spans="1:7" x14ac:dyDescent="0.3">
      <c r="A40" s="46">
        <v>1</v>
      </c>
      <c r="B40" t="s">
        <v>61</v>
      </c>
      <c r="C40" s="56" t="s">
        <v>124</v>
      </c>
      <c r="D40" s="55" t="s">
        <v>7</v>
      </c>
      <c r="E40" s="54" t="s">
        <v>127</v>
      </c>
      <c r="F40" s="10">
        <v>1.1299999999999999</v>
      </c>
      <c r="G40" s="10">
        <f t="shared" si="0"/>
        <v>1.1299999999999999</v>
      </c>
    </row>
    <row r="41" spans="1:7" x14ac:dyDescent="0.3">
      <c r="A41" s="46">
        <v>1</v>
      </c>
      <c r="B41" t="s">
        <v>65</v>
      </c>
      <c r="C41" s="56" t="s">
        <v>125</v>
      </c>
      <c r="D41" s="55" t="s">
        <v>7</v>
      </c>
      <c r="E41" s="54" t="s">
        <v>126</v>
      </c>
      <c r="F41" s="10">
        <v>0.19500000000000001</v>
      </c>
      <c r="G41" s="10">
        <f t="shared" si="0"/>
        <v>0.19500000000000001</v>
      </c>
    </row>
    <row r="42" spans="1:7" x14ac:dyDescent="0.3">
      <c r="A42" s="46">
        <v>2</v>
      </c>
      <c r="B42" t="s">
        <v>87</v>
      </c>
      <c r="C42" s="56" t="s">
        <v>128</v>
      </c>
      <c r="D42" s="55" t="s">
        <v>7</v>
      </c>
      <c r="E42" s="54" t="s">
        <v>129</v>
      </c>
      <c r="F42" s="10">
        <v>0.112</v>
      </c>
      <c r="G42" s="10">
        <f t="shared" si="0"/>
        <v>0.224</v>
      </c>
    </row>
    <row r="43" spans="1:7" x14ac:dyDescent="0.3">
      <c r="A43" s="46">
        <v>1</v>
      </c>
      <c r="B43" t="s">
        <v>75</v>
      </c>
      <c r="C43" s="56" t="s">
        <v>134</v>
      </c>
      <c r="D43" s="55" t="s">
        <v>7</v>
      </c>
      <c r="E43" s="54" t="s">
        <v>135</v>
      </c>
      <c r="F43" s="10">
        <v>1.47</v>
      </c>
      <c r="G43" s="10">
        <f t="shared" si="0"/>
        <v>1.47</v>
      </c>
    </row>
    <row r="44" spans="1:7" x14ac:dyDescent="0.3">
      <c r="A44" s="46">
        <v>1</v>
      </c>
      <c r="B44" t="s">
        <v>74</v>
      </c>
      <c r="C44" s="56" t="s">
        <v>132</v>
      </c>
      <c r="D44" s="55" t="s">
        <v>7</v>
      </c>
      <c r="E44" s="54" t="s">
        <v>133</v>
      </c>
      <c r="F44" s="10">
        <v>2.33</v>
      </c>
      <c r="G44" s="10">
        <f t="shared" si="0"/>
        <v>2.33</v>
      </c>
    </row>
    <row r="45" spans="1:7" x14ac:dyDescent="0.3">
      <c r="A45" s="46">
        <v>1</v>
      </c>
      <c r="B45" t="s">
        <v>60</v>
      </c>
      <c r="C45" s="56" t="s">
        <v>136</v>
      </c>
      <c r="D45" s="55" t="s">
        <v>7</v>
      </c>
      <c r="E45" s="54" t="s">
        <v>137</v>
      </c>
      <c r="F45" s="10">
        <v>0.51200000000000001</v>
      </c>
      <c r="G45" s="10">
        <f t="shared" si="0"/>
        <v>0.51200000000000001</v>
      </c>
    </row>
    <row r="46" spans="1:7" x14ac:dyDescent="0.3">
      <c r="A46" s="46">
        <v>1</v>
      </c>
      <c r="B46" t="s">
        <v>69</v>
      </c>
      <c r="C46" s="56" t="s">
        <v>130</v>
      </c>
      <c r="D46" s="55" t="s">
        <v>7</v>
      </c>
      <c r="E46" s="54" t="s">
        <v>131</v>
      </c>
      <c r="F46" s="10">
        <v>1.1200000000000001</v>
      </c>
      <c r="G46" s="10">
        <f t="shared" si="0"/>
        <v>1.1200000000000001</v>
      </c>
    </row>
    <row r="47" spans="1:7" x14ac:dyDescent="0.3">
      <c r="A47" s="46">
        <v>2</v>
      </c>
      <c r="B47" t="s">
        <v>89</v>
      </c>
      <c r="C47" s="56" t="s">
        <v>138</v>
      </c>
      <c r="D47" s="7" t="s">
        <v>20</v>
      </c>
      <c r="E47" t="s">
        <v>139</v>
      </c>
      <c r="F47" s="10">
        <v>0.29399999999999998</v>
      </c>
      <c r="G47" s="10">
        <f t="shared" si="0"/>
        <v>0.58799999999999997</v>
      </c>
    </row>
    <row r="48" spans="1:7" x14ac:dyDescent="0.3">
      <c r="A48" s="46">
        <v>1</v>
      </c>
      <c r="B48" t="s">
        <v>66</v>
      </c>
      <c r="C48" s="56" t="s">
        <v>140</v>
      </c>
      <c r="D48" s="7" t="s">
        <v>20</v>
      </c>
      <c r="E48" t="s">
        <v>141</v>
      </c>
      <c r="F48" s="10">
        <v>0.39700000000000002</v>
      </c>
      <c r="G48" s="10">
        <f t="shared" si="0"/>
        <v>0.39700000000000002</v>
      </c>
    </row>
    <row r="49" spans="1:7" x14ac:dyDescent="0.3">
      <c r="A49" s="46">
        <v>1</v>
      </c>
      <c r="B49" t="s">
        <v>67</v>
      </c>
      <c r="C49" s="56" t="s">
        <v>145</v>
      </c>
      <c r="D49" s="7" t="s">
        <v>20</v>
      </c>
      <c r="E49" t="s">
        <v>144</v>
      </c>
      <c r="F49" s="10">
        <v>0.57999999999999996</v>
      </c>
      <c r="G49" s="10">
        <f t="shared" si="0"/>
        <v>0.57999999999999996</v>
      </c>
    </row>
    <row r="50" spans="1:7" x14ac:dyDescent="0.3">
      <c r="A50" s="7">
        <v>2</v>
      </c>
      <c r="B50" s="8"/>
      <c r="C50" s="56" t="s">
        <v>142</v>
      </c>
      <c r="D50" s="7" t="s">
        <v>20</v>
      </c>
      <c r="E50" t="s">
        <v>146</v>
      </c>
      <c r="F50" s="10">
        <v>0.54600000000000004</v>
      </c>
      <c r="G50" s="10">
        <f t="shared" si="0"/>
        <v>1.0920000000000001</v>
      </c>
    </row>
    <row r="51" spans="1:7" x14ac:dyDescent="0.3">
      <c r="A51" s="7">
        <v>1</v>
      </c>
      <c r="B51" s="8"/>
      <c r="C51" s="56" t="s">
        <v>143</v>
      </c>
      <c r="D51" s="7" t="s">
        <v>20</v>
      </c>
      <c r="E51" t="s">
        <v>147</v>
      </c>
      <c r="F51" s="10">
        <v>1.0900000000000001</v>
      </c>
      <c r="G51" s="10">
        <f t="shared" si="0"/>
        <v>1.0900000000000001</v>
      </c>
    </row>
    <row r="52" spans="1:7" x14ac:dyDescent="0.3">
      <c r="A52" s="7">
        <v>1</v>
      </c>
      <c r="B52" s="8"/>
      <c r="C52" s="56" t="s">
        <v>149</v>
      </c>
      <c r="D52" s="7" t="s">
        <v>20</v>
      </c>
      <c r="E52" t="s">
        <v>148</v>
      </c>
      <c r="F52" s="10">
        <v>1.61</v>
      </c>
      <c r="G52" s="10">
        <f t="shared" si="0"/>
        <v>1.61</v>
      </c>
    </row>
    <row r="53" spans="1:7" x14ac:dyDescent="0.3">
      <c r="A53" s="7">
        <v>1</v>
      </c>
      <c r="B53" s="8" t="s">
        <v>78</v>
      </c>
      <c r="C53" s="56" t="s">
        <v>150</v>
      </c>
      <c r="D53" s="55" t="s">
        <v>7</v>
      </c>
      <c r="E53" s="54" t="s">
        <v>163</v>
      </c>
      <c r="F53" s="10">
        <v>0.86499999999999999</v>
      </c>
      <c r="G53" s="10">
        <f t="shared" si="0"/>
        <v>0.86499999999999999</v>
      </c>
    </row>
    <row r="54" spans="1:7" x14ac:dyDescent="0.3">
      <c r="A54" s="46">
        <v>1</v>
      </c>
      <c r="B54" t="s">
        <v>71</v>
      </c>
      <c r="C54" s="54" t="s">
        <v>151</v>
      </c>
      <c r="D54" s="55" t="s">
        <v>7</v>
      </c>
      <c r="E54" t="s">
        <v>152</v>
      </c>
      <c r="F54" s="10">
        <v>0.502</v>
      </c>
      <c r="G54" s="10">
        <f t="shared" si="0"/>
        <v>0.502</v>
      </c>
    </row>
    <row r="55" spans="1:7" x14ac:dyDescent="0.3">
      <c r="A55" s="11">
        <f>SUM(A2:A54)</f>
        <v>124</v>
      </c>
      <c r="B55" s="12" t="s">
        <v>8</v>
      </c>
      <c r="C55" s="42"/>
      <c r="D55" s="12"/>
      <c r="E55" s="13"/>
      <c r="F55" s="14"/>
      <c r="G55" s="14">
        <f>SUM(G2:G54)</f>
        <v>118.5907</v>
      </c>
    </row>
    <row r="56" spans="1:7" x14ac:dyDescent="0.3">
      <c r="A56" s="7"/>
      <c r="B56" s="8" t="s">
        <v>9</v>
      </c>
      <c r="C56" s="41"/>
      <c r="D56" s="8"/>
      <c r="E56" s="15"/>
      <c r="F56" s="10"/>
      <c r="G56" s="10"/>
    </row>
    <row r="57" spans="1:7" x14ac:dyDescent="0.3">
      <c r="A57" s="16"/>
      <c r="B57" s="17" t="s">
        <v>10</v>
      </c>
      <c r="C57" s="43"/>
      <c r="D57" s="17"/>
      <c r="E57" s="18"/>
      <c r="F57" s="19"/>
      <c r="G57" s="19"/>
    </row>
    <row r="58" spans="1:7" x14ac:dyDescent="0.3">
      <c r="A58" s="7"/>
      <c r="B58" s="8"/>
      <c r="C58" s="41"/>
      <c r="D58" s="8"/>
      <c r="E58" s="15"/>
      <c r="F58" s="20" t="s">
        <v>11</v>
      </c>
      <c r="G58" s="21">
        <f>SUM(G55:G57)</f>
        <v>118.5907</v>
      </c>
    </row>
    <row r="59" spans="1:7" x14ac:dyDescent="0.3">
      <c r="A59" s="7"/>
      <c r="B59" s="8"/>
      <c r="C59" s="41"/>
      <c r="D59" s="8"/>
      <c r="E59" s="15"/>
      <c r="F59" s="10"/>
      <c r="G59" s="10"/>
    </row>
    <row r="60" spans="1:7" x14ac:dyDescent="0.3">
      <c r="A60" s="7"/>
      <c r="B60" s="8"/>
      <c r="C60" s="41"/>
      <c r="D60" s="8"/>
      <c r="E60" s="15"/>
      <c r="F60" s="10"/>
      <c r="G60" s="10"/>
    </row>
    <row r="61" spans="1:7" x14ac:dyDescent="0.3">
      <c r="A61" s="7"/>
      <c r="B61" s="8"/>
      <c r="C61" s="41"/>
      <c r="D61" s="8"/>
      <c r="E61" s="15"/>
      <c r="F61" s="10"/>
      <c r="G61" s="10"/>
    </row>
    <row r="62" spans="1:7" x14ac:dyDescent="0.3">
      <c r="A62" s="7"/>
      <c r="B62" s="8"/>
      <c r="C62" s="41"/>
      <c r="D62" s="8"/>
      <c r="E62" s="15"/>
      <c r="F62" s="10"/>
      <c r="G62" s="10"/>
    </row>
    <row r="63" spans="1:7" x14ac:dyDescent="0.3">
      <c r="A63" s="7"/>
      <c r="B63" s="8"/>
      <c r="C63" s="41"/>
      <c r="D63" s="8"/>
      <c r="E63" s="15"/>
      <c r="F63" s="10"/>
      <c r="G63" s="10"/>
    </row>
    <row r="64" spans="1:7" x14ac:dyDescent="0.3">
      <c r="A64" s="7"/>
      <c r="B64" s="8"/>
      <c r="C64" s="41"/>
      <c r="D64" s="8"/>
      <c r="E64" s="15"/>
      <c r="F64" s="10"/>
      <c r="G64" s="10"/>
    </row>
    <row r="65" spans="1:8" x14ac:dyDescent="0.3">
      <c r="A65" s="7"/>
      <c r="B65" s="8"/>
      <c r="C65" s="41"/>
      <c r="D65" s="8"/>
      <c r="E65" s="15"/>
      <c r="F65" s="10"/>
      <c r="G65" s="10"/>
    </row>
    <row r="66" spans="1:8" x14ac:dyDescent="0.3">
      <c r="A66" s="7"/>
      <c r="B66" s="8"/>
      <c r="C66" s="41"/>
      <c r="D66" s="8"/>
      <c r="E66" s="15"/>
      <c r="F66" s="10"/>
      <c r="G66" s="10"/>
    </row>
    <row r="67" spans="1:8" x14ac:dyDescent="0.3">
      <c r="A67" s="7"/>
      <c r="B67" s="8"/>
      <c r="C67" s="41"/>
      <c r="D67" s="8"/>
      <c r="E67" s="15"/>
      <c r="F67" s="10"/>
      <c r="G67" s="10"/>
    </row>
    <row r="68" spans="1:8" x14ac:dyDescent="0.3">
      <c r="A68" s="7"/>
      <c r="B68" s="8"/>
      <c r="C68" s="41"/>
      <c r="D68" s="8"/>
      <c r="E68" s="8"/>
      <c r="F68" s="10"/>
      <c r="G68" s="10"/>
      <c r="H68" s="8"/>
    </row>
    <row r="69" spans="1:8" x14ac:dyDescent="0.3">
      <c r="A69" s="7"/>
      <c r="B69" s="8"/>
      <c r="C69" s="41"/>
      <c r="D69" s="8"/>
      <c r="E69" s="15"/>
      <c r="F69" s="10"/>
      <c r="G69" s="10"/>
    </row>
    <row r="74" spans="1:8" x14ac:dyDescent="0.3">
      <c r="A74" s="8"/>
      <c r="B74" s="8"/>
      <c r="C74" s="44"/>
      <c r="D74" s="8"/>
      <c r="E74" s="23"/>
      <c r="F74" s="24"/>
      <c r="G74" s="25"/>
    </row>
    <row r="75" spans="1:8" x14ac:dyDescent="0.3">
      <c r="A75" s="8"/>
      <c r="B75" s="8"/>
      <c r="C75" s="41"/>
      <c r="D75" s="8"/>
      <c r="E75" s="15"/>
      <c r="F75" s="10"/>
      <c r="G75" s="8"/>
    </row>
    <row r="76" spans="1:8" x14ac:dyDescent="0.3">
      <c r="A76" s="8"/>
      <c r="B76" s="8"/>
      <c r="C76" s="41"/>
      <c r="D76" s="8"/>
      <c r="E76" s="15"/>
      <c r="F76" s="10"/>
      <c r="G76" s="8"/>
    </row>
    <row r="77" spans="1:8" x14ac:dyDescent="0.3">
      <c r="A77" s="8"/>
      <c r="B77" s="8"/>
      <c r="C77" s="41"/>
      <c r="D77" s="8"/>
      <c r="E77" s="15"/>
      <c r="F77" s="10"/>
      <c r="G77" s="8"/>
    </row>
    <row r="78" spans="1:8" x14ac:dyDescent="0.3">
      <c r="A78" s="8"/>
      <c r="B78" s="8"/>
      <c r="C78" s="41"/>
      <c r="D78" s="8"/>
      <c r="E78" s="15"/>
      <c r="F78" s="10"/>
      <c r="G78" s="8"/>
    </row>
    <row r="79" spans="1:8" x14ac:dyDescent="0.3">
      <c r="A79" s="8"/>
      <c r="B79" s="8"/>
      <c r="C79" s="41"/>
      <c r="D79" s="8"/>
      <c r="E79" s="15"/>
      <c r="F79" s="10"/>
    </row>
    <row r="80" spans="1:8" x14ac:dyDescent="0.3">
      <c r="A80" s="8"/>
      <c r="B80" s="8"/>
      <c r="F80" s="10"/>
      <c r="G80" s="8"/>
    </row>
    <row r="81" spans="1:7" x14ac:dyDescent="0.3">
      <c r="A81" s="8"/>
      <c r="B81" s="8"/>
      <c r="C81" s="41"/>
      <c r="D81" s="8"/>
      <c r="E81" s="15"/>
      <c r="F81" s="10"/>
      <c r="G81" s="8"/>
    </row>
    <row r="84" spans="1:7" x14ac:dyDescent="0.3">
      <c r="F84" s="10"/>
    </row>
  </sheetData>
  <pageMargins left="0.7" right="0.7" top="0.75" bottom="0.75" header="0.511811023622047" footer="0.511811023622047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112</TotalTime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1</vt:i4>
      </vt:variant>
    </vt:vector>
  </HeadingPairs>
  <TitlesOfParts>
    <vt:vector size="1" baseType="lpstr">
      <vt:lpstr>current driver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Filipe Carvalho</dc:creator>
  <dc:description/>
  <cp:lastModifiedBy>José Grilo</cp:lastModifiedBy>
  <cp:revision>7</cp:revision>
  <dcterms:created xsi:type="dcterms:W3CDTF">2014-12-01T09:36:01Z</dcterms:created>
  <dcterms:modified xsi:type="dcterms:W3CDTF">2024-11-06T15:57:07Z</dcterms:modified>
  <dc:language>en-US</dc:language>
</cp:coreProperties>
</file>